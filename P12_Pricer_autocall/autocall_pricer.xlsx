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squ\Desktop\Quant_ProjectGit\P12_Pricer_autocall\"/>
    </mc:Choice>
  </mc:AlternateContent>
  <xr:revisionPtr revIDLastSave="0" documentId="13_ncr:1_{5D1AC386-D550-423A-8532-73A919F94517}" xr6:coauthVersionLast="47" xr6:coauthVersionMax="47" xr10:uidLastSave="{00000000-0000-0000-0000-000000000000}"/>
  <bookViews>
    <workbookView xWindow="-98" yWindow="-98" windowWidth="21795" windowHeight="12975" tabRatio="500" activeTab="2" xr2:uid="{00000000-000D-0000-FFFF-FFFF00000000}"/>
  </bookViews>
  <sheets>
    <sheet name="Inputs" sheetId="1" r:id="rId1"/>
    <sheet name="Payoff Diagram" sheetId="2" r:id="rId2"/>
    <sheet name="Pricing Summary" sheetId="3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7" i="2" l="1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E25" i="2" l="1"/>
  <c r="D25" i="2"/>
  <c r="F25" i="2" s="1"/>
  <c r="E22" i="2"/>
  <c r="D22" i="2"/>
  <c r="F22" i="2" s="1"/>
  <c r="D19" i="2"/>
  <c r="E19" i="2"/>
  <c r="F19" i="2" s="1"/>
  <c r="E15" i="2"/>
  <c r="D15" i="2"/>
  <c r="F15" i="2" s="1"/>
  <c r="E27" i="2"/>
  <c r="D27" i="2"/>
  <c r="F27" i="2" s="1"/>
  <c r="E26" i="2"/>
  <c r="D26" i="2"/>
  <c r="E24" i="2"/>
  <c r="D24" i="2"/>
  <c r="D23" i="2"/>
  <c r="E23" i="2"/>
  <c r="E21" i="2"/>
  <c r="D21" i="2"/>
  <c r="F21" i="2" s="1"/>
  <c r="E20" i="2"/>
  <c r="D20" i="2"/>
  <c r="F20" i="2" s="1"/>
  <c r="E18" i="2"/>
  <c r="D18" i="2"/>
  <c r="F18" i="2" s="1"/>
  <c r="E17" i="2"/>
  <c r="D17" i="2"/>
  <c r="F17" i="2" s="1"/>
  <c r="E16" i="2"/>
  <c r="D16" i="2"/>
  <c r="F16" i="2" s="1"/>
  <c r="E14" i="2"/>
  <c r="D14" i="2"/>
  <c r="F14" i="2" s="1"/>
  <c r="D13" i="2"/>
  <c r="E13" i="2"/>
  <c r="E12" i="2"/>
  <c r="D12" i="2"/>
  <c r="F12" i="2" s="1"/>
  <c r="E11" i="2"/>
  <c r="D11" i="2"/>
  <c r="F11" i="2" s="1"/>
  <c r="D10" i="2"/>
  <c r="E10" i="2"/>
  <c r="E9" i="2"/>
  <c r="D9" i="2"/>
  <c r="F9" i="2" s="1"/>
  <c r="D8" i="2"/>
  <c r="E8" i="2"/>
  <c r="D7" i="2"/>
  <c r="E7" i="2"/>
  <c r="E6" i="2"/>
  <c r="D6" i="2"/>
  <c r="F6" i="2" s="1"/>
  <c r="E5" i="2"/>
  <c r="D5" i="2"/>
  <c r="F5" i="2" s="1"/>
  <c r="F23" i="2" l="1"/>
  <c r="F10" i="2"/>
  <c r="F8" i="2"/>
  <c r="F24" i="2"/>
  <c r="F13" i="2"/>
  <c r="F26" i="2"/>
  <c r="F7" i="2"/>
</calcChain>
</file>

<file path=xl/sharedStrings.xml><?xml version="1.0" encoding="utf-8"?>
<sst xmlns="http://schemas.openxmlformats.org/spreadsheetml/2006/main" count="38" uniqueCount="37">
  <si>
    <t>Note Autocall (Athena / Phoenix a memoire) -- Parametres</t>
  </si>
  <si>
    <t>Parametre</t>
  </si>
  <si>
    <t>Valeur</t>
  </si>
  <si>
    <t>Spot initial (S0)</t>
  </si>
  <si>
    <t>Notional</t>
  </si>
  <si>
    <t>Taux sans risque (r)</t>
  </si>
  <si>
    <t>Rendement de dividende (q)</t>
  </si>
  <si>
    <t>Volatilite (sigma)</t>
  </si>
  <si>
    <t>Barriere autocall (% de S0)</t>
  </si>
  <si>
    <t>Barriere de coupon (% de S0)</t>
  </si>
  <si>
    <t>Barriere de protection du capital (% de S0)</t>
  </si>
  <si>
    <t>Taux de coupon annuel</t>
  </si>
  <si>
    <t>Dates d'observation (annees)</t>
  </si>
  <si>
    <t>Date 1</t>
  </si>
  <si>
    <t>Date 2</t>
  </si>
  <si>
    <t>Date 3</t>
  </si>
  <si>
    <t>Legende : cellules jaunes = parametres modifiables</t>
  </si>
  <si>
    <t>Diagramme de payoff a l'echeance (si jamais rappelee avant)</t>
  </si>
  <si>
    <t>Performance S_T/S0</t>
  </si>
  <si>
    <t>S_T</t>
  </si>
  <si>
    <t>Remboursement</t>
  </si>
  <si>
    <t>Coupon final (si du)</t>
  </si>
  <si>
    <t>Total</t>
  </si>
  <si>
    <t>Resultats de pricing -- moteur Monte Carlo (Python)</t>
  </si>
  <si>
    <t>Valeurs calculees par le moteur Python (pricer.py, 300 000 trajectoires, variates antithetiques), reportees ici pour la presentation. Le classeur ne relance pas la simulation -- voir le module VBA (AutocallPricer.bas) pour une version executable directement dans Excel.</t>
  </si>
  <si>
    <t>Indicateur</t>
  </si>
  <si>
    <t>Prix (unites monetaires)</t>
  </si>
  <si>
    <t>Prix (% du notional)</t>
  </si>
  <si>
    <t>Erreur standard Monte Carlo</t>
  </si>
  <si>
    <t>Delta (dP/dS pour 1 unite de spot)</t>
  </si>
  <si>
    <t>Probabilite de rappel anticipe (avant echeance)</t>
  </si>
  <si>
    <t>Probabilite de perte en capital a l'echeance</t>
  </si>
  <si>
    <t>Duree de vie moyenne attendue (annees)</t>
  </si>
  <si>
    <t>Probabilite de rappel par date</t>
  </si>
  <si>
    <t>Annee 1</t>
  </si>
  <si>
    <t>Annee 2</t>
  </si>
  <si>
    <t>Jamais rappelee (echeance)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</si>
</sst>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"/>
  </numFmts>
  <fonts count="10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b/>
      <sz val="11"/>
      <color rgb="FFFFFFFF"/>
      <name val="Arial"/>
      <charset val="1"/>
    </font>
    <font>
      <sz val="11"/>
      <color rgb="FF000000"/>
      <name val="Arial"/>
      <charset val="1"/>
    </font>
    <font>
      <sz val="11"/>
      <color rgb="FF0000FF"/>
      <name val="Arial"/>
      <charset val="1"/>
    </font>
    <font>
      <b/>
      <sz val="11"/>
      <name val="Arial"/>
      <charset val="1"/>
    </font>
    <font>
      <i/>
      <sz val="9"/>
      <name val="Arial"/>
      <charset val="1"/>
    </font>
    <font>
      <i/>
      <sz val="9"/>
      <color rgb="FF595959"/>
      <name val="Arial"/>
      <charset val="1"/>
    </font>
    <font>
      <sz val="11"/>
      <color rgb="FF008000"/>
      <name val="Arial"/>
      <charset val="1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/>
    <xf numFmtId="0" fontId="3" fillId="0" borderId="0" xfId="0" applyFont="1"/>
    <xf numFmtId="2" fontId="4" fillId="3" borderId="1" xfId="0" applyNumberFormat="1" applyFont="1" applyFill="1" applyBorder="1"/>
    <xf numFmtId="3" fontId="4" fillId="3" borderId="1" xfId="0" applyNumberFormat="1" applyFont="1" applyFill="1" applyBorder="1"/>
    <xf numFmtId="164" fontId="4" fillId="3" borderId="1" xfId="0" applyNumberFormat="1" applyFont="1" applyFill="1" applyBorder="1"/>
    <xf numFmtId="9" fontId="4" fillId="3" borderId="1" xfId="0" applyNumberFormat="1" applyFont="1" applyFill="1" applyBorder="1"/>
    <xf numFmtId="0" fontId="5" fillId="0" borderId="0" xfId="0" applyFont="1"/>
    <xf numFmtId="0" fontId="4" fillId="3" borderId="1" xfId="0" applyFont="1" applyFill="1" applyBorder="1"/>
    <xf numFmtId="0" fontId="6" fillId="0" borderId="0" xfId="0" applyFont="1"/>
    <xf numFmtId="0" fontId="2" fillId="2" borderId="1" xfId="0" applyFont="1" applyFill="1" applyBorder="1"/>
    <xf numFmtId="9" fontId="3" fillId="0" borderId="1" xfId="0" applyNumberFormat="1" applyFont="1" applyBorder="1"/>
    <xf numFmtId="2" fontId="3" fillId="0" borderId="1" xfId="0" applyNumberFormat="1" applyFont="1" applyBorder="1"/>
    <xf numFmtId="3" fontId="3" fillId="0" borderId="1" xfId="0" applyNumberFormat="1" applyFont="1" applyBorder="1"/>
    <xf numFmtId="0" fontId="3" fillId="0" borderId="1" xfId="0" applyFont="1" applyBorder="1"/>
    <xf numFmtId="4" fontId="8" fillId="0" borderId="1" xfId="0" applyNumberFormat="1" applyFont="1" applyBorder="1"/>
    <xf numFmtId="10" fontId="8" fillId="0" borderId="1" xfId="0" applyNumberFormat="1" applyFont="1" applyBorder="1"/>
    <xf numFmtId="2" fontId="8" fillId="0" borderId="1" xfId="0" applyNumberFormat="1" applyFont="1" applyBorder="1"/>
    <xf numFmtId="165" fontId="8" fillId="0" borderId="1" xfId="0" applyNumberFormat="1" applyFont="1" applyBorder="1"/>
    <xf numFmtId="164" fontId="8" fillId="0" borderId="1" xfId="0" applyNumberFormat="1" applyFont="1" applyBorder="1"/>
    <xf numFmtId="164" fontId="8" fillId="0" borderId="0" xfId="0" applyNumberFormat="1" applyFont="1"/>
    <xf numFmtId="0" fontId="1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Payoff a l'echeance vs performance du sous-jacent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'Payoff Diagram'!$F$4</c:f>
              <c:strCache>
                <c:ptCount val="1"/>
                <c:pt idx="0">
                  <c:v>Total</c:v>
                </c:pt>
              </c:strCache>
            </c:strRef>
          </c:tx>
          <c:spPr>
            <a:ln w="2484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'Payoff Diagram'!$B$5:$B$27</c:f>
              <c:numCache>
                <c:formatCode>0%</c:formatCode>
                <c:ptCount val="23"/>
                <c:pt idx="0">
                  <c:v>0.3</c:v>
                </c:pt>
                <c:pt idx="1">
                  <c:v>0.35</c:v>
                </c:pt>
                <c:pt idx="2">
                  <c:v>0.4</c:v>
                </c:pt>
                <c:pt idx="3">
                  <c:v>0.45</c:v>
                </c:pt>
                <c:pt idx="4">
                  <c:v>0.5</c:v>
                </c:pt>
                <c:pt idx="5">
                  <c:v>0.55000000000000004</c:v>
                </c:pt>
                <c:pt idx="6">
                  <c:v>0.6</c:v>
                </c:pt>
                <c:pt idx="7">
                  <c:v>0.65</c:v>
                </c:pt>
                <c:pt idx="8">
                  <c:v>0.7</c:v>
                </c:pt>
                <c:pt idx="9">
                  <c:v>0.75</c:v>
                </c:pt>
                <c:pt idx="10">
                  <c:v>0.8</c:v>
                </c:pt>
                <c:pt idx="11">
                  <c:v>0.85</c:v>
                </c:pt>
                <c:pt idx="12">
                  <c:v>0.9</c:v>
                </c:pt>
                <c:pt idx="13">
                  <c:v>0.95</c:v>
                </c:pt>
                <c:pt idx="14">
                  <c:v>1</c:v>
                </c:pt>
                <c:pt idx="15">
                  <c:v>1.05</c:v>
                </c:pt>
                <c:pt idx="16">
                  <c:v>1.1000000000000001</c:v>
                </c:pt>
                <c:pt idx="17">
                  <c:v>1.1499999999999999</c:v>
                </c:pt>
                <c:pt idx="18">
                  <c:v>1.2</c:v>
                </c:pt>
                <c:pt idx="19">
                  <c:v>1.25</c:v>
                </c:pt>
                <c:pt idx="20">
                  <c:v>1.3</c:v>
                </c:pt>
                <c:pt idx="21">
                  <c:v>1.35</c:v>
                </c:pt>
                <c:pt idx="22">
                  <c:v>1.4</c:v>
                </c:pt>
              </c:numCache>
            </c:numRef>
          </c:cat>
          <c:val>
            <c:numRef>
              <c:f>'Payoff Diagram'!$F$5:$F$27</c:f>
              <c:numCache>
                <c:formatCode>#,##0</c:formatCode>
                <c:ptCount val="23"/>
                <c:pt idx="0">
                  <c:v>300</c:v>
                </c:pt>
                <c:pt idx="1">
                  <c:v>350</c:v>
                </c:pt>
                <c:pt idx="2">
                  <c:v>400</c:v>
                </c:pt>
                <c:pt idx="3">
                  <c:v>450</c:v>
                </c:pt>
                <c:pt idx="4">
                  <c:v>500</c:v>
                </c:pt>
                <c:pt idx="5">
                  <c:v>550.00000000000011</c:v>
                </c:pt>
                <c:pt idx="6">
                  <c:v>600</c:v>
                </c:pt>
                <c:pt idx="7">
                  <c:v>650</c:v>
                </c:pt>
                <c:pt idx="8">
                  <c:v>1080</c:v>
                </c:pt>
                <c:pt idx="9">
                  <c:v>1080</c:v>
                </c:pt>
                <c:pt idx="10">
                  <c:v>1080</c:v>
                </c:pt>
                <c:pt idx="11">
                  <c:v>1080</c:v>
                </c:pt>
                <c:pt idx="12">
                  <c:v>1080</c:v>
                </c:pt>
                <c:pt idx="13">
                  <c:v>1080</c:v>
                </c:pt>
                <c:pt idx="14">
                  <c:v>1080</c:v>
                </c:pt>
                <c:pt idx="15">
                  <c:v>1080</c:v>
                </c:pt>
                <c:pt idx="16">
                  <c:v>1080</c:v>
                </c:pt>
                <c:pt idx="17">
                  <c:v>1080</c:v>
                </c:pt>
                <c:pt idx="18">
                  <c:v>1080</c:v>
                </c:pt>
                <c:pt idx="19">
                  <c:v>1080</c:v>
                </c:pt>
                <c:pt idx="20">
                  <c:v>1080</c:v>
                </c:pt>
                <c:pt idx="21">
                  <c:v>1080</c:v>
                </c:pt>
                <c:pt idx="22">
                  <c:v>1080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25-47C2-B1A4-79ACCB6E2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46491476"/>
        <c:axId val="50619053"/>
      </c:lineChart>
      <c:catAx>
        <c:axId val="4649147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Performance S_T / S0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50619053"/>
        <c:crosses val="autoZero"/>
        <c:auto val="1"/>
        <c:lblAlgn val="ctr"/>
        <c:lblOffset val="100"/>
        <c:noMultiLvlLbl val="0"/>
      </c:catAx>
      <c:valAx>
        <c:axId val="5061905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Remboursement total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4649147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160920</xdr:rowOff>
    </xdr:from>
    <xdr:to>
      <xdr:col>18</xdr:col>
      <xdr:colOff>473040</xdr:colOff>
      <xdr:row>19</xdr:row>
      <xdr:rowOff>162000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523875</xdr:colOff>
          <xdr:row>5</xdr:row>
          <xdr:rowOff>4763</xdr:rowOff>
        </xdr:from>
        <xdr:to>
          <xdr:col>7</xdr:col>
          <xdr:colOff>176213</xdr:colOff>
          <xdr:row>8</xdr:row>
          <xdr:rowOff>95250</xdr:rowOff>
        </xdr:to>
        <xdr:sp macro="" textlink="">
          <xdr:nvSpPr>
            <xdr:cNvPr id="2049" name="Button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5720" rIns="45720" bIns="45720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RunPricing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B2:D21"/>
  <sheetViews>
    <sheetView showGridLines="0" zoomScaleNormal="100" workbookViewId="0">
      <selection activeCell="C8" sqref="C8"/>
    </sheetView>
  </sheetViews>
  <sheetFormatPr baseColWidth="10" defaultColWidth="8.6640625" defaultRowHeight="14.25" x14ac:dyDescent="0.45"/>
  <cols>
    <col min="1" max="1" width="3" customWidth="1"/>
    <col min="2" max="2" width="42" customWidth="1"/>
    <col min="3" max="3" width="14" customWidth="1"/>
  </cols>
  <sheetData>
    <row r="2" spans="2:4" ht="17.649999999999999" x14ac:dyDescent="0.5">
      <c r="B2" s="21" t="s">
        <v>0</v>
      </c>
      <c r="C2" s="21"/>
      <c r="D2" s="21"/>
    </row>
    <row r="4" spans="2:4" x14ac:dyDescent="0.45">
      <c r="B4" s="1" t="s">
        <v>1</v>
      </c>
      <c r="C4" s="1" t="s">
        <v>2</v>
      </c>
    </row>
    <row r="5" spans="2:4" x14ac:dyDescent="0.45">
      <c r="B5" s="2" t="s">
        <v>3</v>
      </c>
      <c r="C5" s="3">
        <v>200</v>
      </c>
    </row>
    <row r="6" spans="2:4" x14ac:dyDescent="0.45">
      <c r="B6" s="2" t="s">
        <v>4</v>
      </c>
      <c r="C6" s="4">
        <v>1000</v>
      </c>
    </row>
    <row r="7" spans="2:4" x14ac:dyDescent="0.45">
      <c r="B7" s="2" t="s">
        <v>5</v>
      </c>
      <c r="C7" s="5">
        <v>0.06</v>
      </c>
    </row>
    <row r="8" spans="2:4" x14ac:dyDescent="0.45">
      <c r="B8" s="2" t="s">
        <v>6</v>
      </c>
      <c r="C8" s="5">
        <v>0.02</v>
      </c>
    </row>
    <row r="9" spans="2:4" x14ac:dyDescent="0.45">
      <c r="B9" s="2" t="s">
        <v>7</v>
      </c>
      <c r="C9" s="5">
        <v>0.22</v>
      </c>
    </row>
    <row r="10" spans="2:4" x14ac:dyDescent="0.45">
      <c r="B10" s="2" t="s">
        <v>8</v>
      </c>
      <c r="C10" s="6">
        <v>1</v>
      </c>
    </row>
    <row r="11" spans="2:4" x14ac:dyDescent="0.45">
      <c r="B11" s="2" t="s">
        <v>9</v>
      </c>
      <c r="C11" s="6">
        <v>0.7</v>
      </c>
    </row>
    <row r="12" spans="2:4" x14ac:dyDescent="0.45">
      <c r="B12" s="2" t="s">
        <v>10</v>
      </c>
      <c r="C12" s="6">
        <v>0.7</v>
      </c>
    </row>
    <row r="13" spans="2:4" x14ac:dyDescent="0.45">
      <c r="B13" s="2" t="s">
        <v>11</v>
      </c>
      <c r="C13" s="5">
        <v>0.08</v>
      </c>
    </row>
    <row r="15" spans="2:4" x14ac:dyDescent="0.45">
      <c r="B15" s="7" t="s">
        <v>12</v>
      </c>
    </row>
    <row r="16" spans="2:4" x14ac:dyDescent="0.45">
      <c r="B16" s="2" t="s">
        <v>13</v>
      </c>
      <c r="C16" s="8">
        <v>1</v>
      </c>
    </row>
    <row r="17" spans="2:3" x14ac:dyDescent="0.45">
      <c r="B17" s="2" t="s">
        <v>14</v>
      </c>
      <c r="C17" s="8">
        <v>2</v>
      </c>
    </row>
    <row r="18" spans="2:3" x14ac:dyDescent="0.45">
      <c r="B18" s="2" t="s">
        <v>15</v>
      </c>
      <c r="C18" s="8">
        <v>3</v>
      </c>
    </row>
    <row r="21" spans="2:3" x14ac:dyDescent="0.45">
      <c r="B21" s="9" t="s">
        <v>16</v>
      </c>
    </row>
  </sheetData>
  <mergeCells count="1">
    <mergeCell ref="B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2"/>
  <dimension ref="B2:F27"/>
  <sheetViews>
    <sheetView showGridLines="0" zoomScaleNormal="100" workbookViewId="0"/>
  </sheetViews>
  <sheetFormatPr baseColWidth="10" defaultColWidth="8.6640625" defaultRowHeight="14.25" x14ac:dyDescent="0.45"/>
  <cols>
    <col min="1" max="1" width="3" customWidth="1"/>
    <col min="2" max="6" width="18" customWidth="1"/>
  </cols>
  <sheetData>
    <row r="2" spans="2:6" ht="17.649999999999999" x14ac:dyDescent="0.5">
      <c r="B2" s="21" t="s">
        <v>17</v>
      </c>
      <c r="C2" s="21"/>
      <c r="D2" s="21"/>
      <c r="E2" s="21"/>
      <c r="F2" s="21"/>
    </row>
    <row r="4" spans="2:6" x14ac:dyDescent="0.45">
      <c r="B4" s="10" t="s">
        <v>18</v>
      </c>
      <c r="C4" s="10" t="s">
        <v>19</v>
      </c>
      <c r="D4" s="10" t="s">
        <v>20</v>
      </c>
      <c r="E4" s="10" t="s">
        <v>21</v>
      </c>
      <c r="F4" s="10" t="s">
        <v>22</v>
      </c>
    </row>
    <row r="5" spans="2:6" x14ac:dyDescent="0.45">
      <c r="B5" s="11">
        <v>0.3</v>
      </c>
      <c r="C5" s="12">
        <f>B5*Inputs!$C$5</f>
        <v>60</v>
      </c>
      <c r="D5" s="13">
        <f>IF(C5&gt;=Inputs!$C$12*Inputs!$C$5,Inputs!$C$6,Inputs!$C$6*C5/Inputs!$C$5)</f>
        <v>300</v>
      </c>
      <c r="E5" s="13">
        <f>IF(C5&gt;=Inputs!$C$11*Inputs!$C$5,Inputs!$C$13*Inputs!$C$6,0)</f>
        <v>0</v>
      </c>
      <c r="F5" s="13">
        <f t="shared" ref="F5:F27" si="0">D5+E5</f>
        <v>300</v>
      </c>
    </row>
    <row r="6" spans="2:6" x14ac:dyDescent="0.45">
      <c r="B6" s="11">
        <v>0.35</v>
      </c>
      <c r="C6" s="12">
        <f>B6*Inputs!$C$5</f>
        <v>70</v>
      </c>
      <c r="D6" s="13">
        <f>IF(C6&gt;=Inputs!$C$12*Inputs!$C$5,Inputs!$C$6,Inputs!$C$6*C6/Inputs!$C$5)</f>
        <v>350</v>
      </c>
      <c r="E6" s="13">
        <f>IF(C6&gt;=Inputs!$C$11*Inputs!$C$5,Inputs!$C$13*Inputs!$C$6,0)</f>
        <v>0</v>
      </c>
      <c r="F6" s="13">
        <f t="shared" si="0"/>
        <v>350</v>
      </c>
    </row>
    <row r="7" spans="2:6" x14ac:dyDescent="0.45">
      <c r="B7" s="11">
        <v>0.4</v>
      </c>
      <c r="C7" s="12">
        <f>B7*Inputs!$C$5</f>
        <v>80</v>
      </c>
      <c r="D7" s="13">
        <f>IF(C7&gt;=Inputs!$C$12*Inputs!$C$5,Inputs!$C$6,Inputs!$C$6*C7/Inputs!$C$5)</f>
        <v>400</v>
      </c>
      <c r="E7" s="13">
        <f>IF(C7&gt;=Inputs!$C$11*Inputs!$C$5,Inputs!$C$13*Inputs!$C$6,0)</f>
        <v>0</v>
      </c>
      <c r="F7" s="13">
        <f t="shared" si="0"/>
        <v>400</v>
      </c>
    </row>
    <row r="8" spans="2:6" x14ac:dyDescent="0.45">
      <c r="B8" s="11">
        <v>0.45</v>
      </c>
      <c r="C8" s="12">
        <f>B8*Inputs!$C$5</f>
        <v>90</v>
      </c>
      <c r="D8" s="13">
        <f>IF(C8&gt;=Inputs!$C$12*Inputs!$C$5,Inputs!$C$6,Inputs!$C$6*C8/Inputs!$C$5)</f>
        <v>450</v>
      </c>
      <c r="E8" s="13">
        <f>IF(C8&gt;=Inputs!$C$11*Inputs!$C$5,Inputs!$C$13*Inputs!$C$6,0)</f>
        <v>0</v>
      </c>
      <c r="F8" s="13">
        <f t="shared" si="0"/>
        <v>450</v>
      </c>
    </row>
    <row r="9" spans="2:6" x14ac:dyDescent="0.45">
      <c r="B9" s="11">
        <v>0.5</v>
      </c>
      <c r="C9" s="12">
        <f>B9*Inputs!$C$5</f>
        <v>100</v>
      </c>
      <c r="D9" s="13">
        <f>IF(C9&gt;=Inputs!$C$12*Inputs!$C$5,Inputs!$C$6,Inputs!$C$6*C9/Inputs!$C$5)</f>
        <v>500</v>
      </c>
      <c r="E9" s="13">
        <f>IF(C9&gt;=Inputs!$C$11*Inputs!$C$5,Inputs!$C$13*Inputs!$C$6,0)</f>
        <v>0</v>
      </c>
      <c r="F9" s="13">
        <f t="shared" si="0"/>
        <v>500</v>
      </c>
    </row>
    <row r="10" spans="2:6" x14ac:dyDescent="0.45">
      <c r="B10" s="11">
        <v>0.55000000000000004</v>
      </c>
      <c r="C10" s="12">
        <f>B10*Inputs!$C$5</f>
        <v>110.00000000000001</v>
      </c>
      <c r="D10" s="13">
        <f>IF(C10&gt;=Inputs!$C$12*Inputs!$C$5,Inputs!$C$6,Inputs!$C$6*C10/Inputs!$C$5)</f>
        <v>550.00000000000011</v>
      </c>
      <c r="E10" s="13">
        <f>IF(C10&gt;=Inputs!$C$11*Inputs!$C$5,Inputs!$C$13*Inputs!$C$6,0)</f>
        <v>0</v>
      </c>
      <c r="F10" s="13">
        <f t="shared" si="0"/>
        <v>550.00000000000011</v>
      </c>
    </row>
    <row r="11" spans="2:6" x14ac:dyDescent="0.45">
      <c r="B11" s="11">
        <v>0.6</v>
      </c>
      <c r="C11" s="12">
        <f>B11*Inputs!$C$5</f>
        <v>120</v>
      </c>
      <c r="D11" s="13">
        <f>IF(C11&gt;=Inputs!$C$12*Inputs!$C$5,Inputs!$C$6,Inputs!$C$6*C11/Inputs!$C$5)</f>
        <v>600</v>
      </c>
      <c r="E11" s="13">
        <f>IF(C11&gt;=Inputs!$C$11*Inputs!$C$5,Inputs!$C$13*Inputs!$C$6,0)</f>
        <v>0</v>
      </c>
      <c r="F11" s="13">
        <f t="shared" si="0"/>
        <v>600</v>
      </c>
    </row>
    <row r="12" spans="2:6" x14ac:dyDescent="0.45">
      <c r="B12" s="11">
        <v>0.65</v>
      </c>
      <c r="C12" s="12">
        <f>B12*Inputs!$C$5</f>
        <v>130</v>
      </c>
      <c r="D12" s="13">
        <f>IF(C12&gt;=Inputs!$C$12*Inputs!$C$5,Inputs!$C$6,Inputs!$C$6*C12/Inputs!$C$5)</f>
        <v>650</v>
      </c>
      <c r="E12" s="13">
        <f>IF(C12&gt;=Inputs!$C$11*Inputs!$C$5,Inputs!$C$13*Inputs!$C$6,0)</f>
        <v>0</v>
      </c>
      <c r="F12" s="13">
        <f t="shared" si="0"/>
        <v>650</v>
      </c>
    </row>
    <row r="13" spans="2:6" x14ac:dyDescent="0.45">
      <c r="B13" s="11">
        <v>0.7</v>
      </c>
      <c r="C13" s="12">
        <f>B13*Inputs!$C$5</f>
        <v>140</v>
      </c>
      <c r="D13" s="13">
        <f>IF(C13&gt;=Inputs!$C$12*Inputs!$C$5,Inputs!$C$6,Inputs!$C$6*C13/Inputs!$C$5)</f>
        <v>1000</v>
      </c>
      <c r="E13" s="13">
        <f>IF(C13&gt;=Inputs!$C$11*Inputs!$C$5,Inputs!$C$13*Inputs!$C$6,0)</f>
        <v>80</v>
      </c>
      <c r="F13" s="13">
        <f t="shared" si="0"/>
        <v>1080</v>
      </c>
    </row>
    <row r="14" spans="2:6" x14ac:dyDescent="0.45">
      <c r="B14" s="11">
        <v>0.75</v>
      </c>
      <c r="C14" s="12">
        <f>B14*Inputs!$C$5</f>
        <v>150</v>
      </c>
      <c r="D14" s="13">
        <f>IF(C14&gt;=Inputs!$C$12*Inputs!$C$5,Inputs!$C$6,Inputs!$C$6*C14/Inputs!$C$5)</f>
        <v>1000</v>
      </c>
      <c r="E14" s="13">
        <f>IF(C14&gt;=Inputs!$C$11*Inputs!$C$5,Inputs!$C$13*Inputs!$C$6,0)</f>
        <v>80</v>
      </c>
      <c r="F14" s="13">
        <f t="shared" si="0"/>
        <v>1080</v>
      </c>
    </row>
    <row r="15" spans="2:6" x14ac:dyDescent="0.45">
      <c r="B15" s="11">
        <v>0.8</v>
      </c>
      <c r="C15" s="12">
        <f>B15*Inputs!$C$5</f>
        <v>160</v>
      </c>
      <c r="D15" s="13">
        <f>IF(C15&gt;=Inputs!$C$12*Inputs!$C$5,Inputs!$C$6,Inputs!$C$6*C15/Inputs!$C$5)</f>
        <v>1000</v>
      </c>
      <c r="E15" s="13">
        <f>IF(C15&gt;=Inputs!$C$11*Inputs!$C$5,Inputs!$C$13*Inputs!$C$6,0)</f>
        <v>80</v>
      </c>
      <c r="F15" s="13">
        <f t="shared" si="0"/>
        <v>1080</v>
      </c>
    </row>
    <row r="16" spans="2:6" x14ac:dyDescent="0.45">
      <c r="B16" s="11">
        <v>0.85</v>
      </c>
      <c r="C16" s="12">
        <f>B16*Inputs!$C$5</f>
        <v>170</v>
      </c>
      <c r="D16" s="13">
        <f>IF(C16&gt;=Inputs!$C$12*Inputs!$C$5,Inputs!$C$6,Inputs!$C$6*C16/Inputs!$C$5)</f>
        <v>1000</v>
      </c>
      <c r="E16" s="13">
        <f>IF(C16&gt;=Inputs!$C$11*Inputs!$C$5,Inputs!$C$13*Inputs!$C$6,0)</f>
        <v>80</v>
      </c>
      <c r="F16" s="13">
        <f t="shared" si="0"/>
        <v>1080</v>
      </c>
    </row>
    <row r="17" spans="2:6" x14ac:dyDescent="0.45">
      <c r="B17" s="11">
        <v>0.9</v>
      </c>
      <c r="C17" s="12">
        <f>B17*Inputs!$C$5</f>
        <v>180</v>
      </c>
      <c r="D17" s="13">
        <f>IF(C17&gt;=Inputs!$C$12*Inputs!$C$5,Inputs!$C$6,Inputs!$C$6*C17/Inputs!$C$5)</f>
        <v>1000</v>
      </c>
      <c r="E17" s="13">
        <f>IF(C17&gt;=Inputs!$C$11*Inputs!$C$5,Inputs!$C$13*Inputs!$C$6,0)</f>
        <v>80</v>
      </c>
      <c r="F17" s="13">
        <f t="shared" si="0"/>
        <v>1080</v>
      </c>
    </row>
    <row r="18" spans="2:6" x14ac:dyDescent="0.45">
      <c r="B18" s="11">
        <v>0.95</v>
      </c>
      <c r="C18" s="12">
        <f>B18*Inputs!$C$5</f>
        <v>190</v>
      </c>
      <c r="D18" s="13">
        <f>IF(C18&gt;=Inputs!$C$12*Inputs!$C$5,Inputs!$C$6,Inputs!$C$6*C18/Inputs!$C$5)</f>
        <v>1000</v>
      </c>
      <c r="E18" s="13">
        <f>IF(C18&gt;=Inputs!$C$11*Inputs!$C$5,Inputs!$C$13*Inputs!$C$6,0)</f>
        <v>80</v>
      </c>
      <c r="F18" s="13">
        <f t="shared" si="0"/>
        <v>1080</v>
      </c>
    </row>
    <row r="19" spans="2:6" x14ac:dyDescent="0.45">
      <c r="B19" s="11">
        <v>1</v>
      </c>
      <c r="C19" s="12">
        <f>B19*Inputs!$C$5</f>
        <v>200</v>
      </c>
      <c r="D19" s="13">
        <f>IF(C19&gt;=Inputs!$C$12*Inputs!$C$5,Inputs!$C$6,Inputs!$C$6*C19/Inputs!$C$5)</f>
        <v>1000</v>
      </c>
      <c r="E19" s="13">
        <f>IF(C19&gt;=Inputs!$C$11*Inputs!$C$5,Inputs!$C$13*Inputs!$C$6,0)</f>
        <v>80</v>
      </c>
      <c r="F19" s="13">
        <f t="shared" si="0"/>
        <v>1080</v>
      </c>
    </row>
    <row r="20" spans="2:6" x14ac:dyDescent="0.45">
      <c r="B20" s="11">
        <v>1.05</v>
      </c>
      <c r="C20" s="12">
        <f>B20*Inputs!$C$5</f>
        <v>210</v>
      </c>
      <c r="D20" s="13">
        <f>IF(C20&gt;=Inputs!$C$12*Inputs!$C$5,Inputs!$C$6,Inputs!$C$6*C20/Inputs!$C$5)</f>
        <v>1000</v>
      </c>
      <c r="E20" s="13">
        <f>IF(C20&gt;=Inputs!$C$11*Inputs!$C$5,Inputs!$C$13*Inputs!$C$6,0)</f>
        <v>80</v>
      </c>
      <c r="F20" s="13">
        <f t="shared" si="0"/>
        <v>1080</v>
      </c>
    </row>
    <row r="21" spans="2:6" x14ac:dyDescent="0.45">
      <c r="B21" s="11">
        <v>1.1000000000000001</v>
      </c>
      <c r="C21" s="12">
        <f>B21*Inputs!$C$5</f>
        <v>220.00000000000003</v>
      </c>
      <c r="D21" s="13">
        <f>IF(C21&gt;=Inputs!$C$12*Inputs!$C$5,Inputs!$C$6,Inputs!$C$6*C21/Inputs!$C$5)</f>
        <v>1000</v>
      </c>
      <c r="E21" s="13">
        <f>IF(C21&gt;=Inputs!$C$11*Inputs!$C$5,Inputs!$C$13*Inputs!$C$6,0)</f>
        <v>80</v>
      </c>
      <c r="F21" s="13">
        <f t="shared" si="0"/>
        <v>1080</v>
      </c>
    </row>
    <row r="22" spans="2:6" x14ac:dyDescent="0.45">
      <c r="B22" s="11">
        <v>1.1499999999999999</v>
      </c>
      <c r="C22" s="12">
        <f>B22*Inputs!$C$5</f>
        <v>229.99999999999997</v>
      </c>
      <c r="D22" s="13">
        <f>IF(C22&gt;=Inputs!$C$12*Inputs!$C$5,Inputs!$C$6,Inputs!$C$6*C22/Inputs!$C$5)</f>
        <v>1000</v>
      </c>
      <c r="E22" s="13">
        <f>IF(C22&gt;=Inputs!$C$11*Inputs!$C$5,Inputs!$C$13*Inputs!$C$6,0)</f>
        <v>80</v>
      </c>
      <c r="F22" s="13">
        <f t="shared" si="0"/>
        <v>1080</v>
      </c>
    </row>
    <row r="23" spans="2:6" x14ac:dyDescent="0.45">
      <c r="B23" s="11">
        <v>1.2</v>
      </c>
      <c r="C23" s="12">
        <f>B23*Inputs!$C$5</f>
        <v>240</v>
      </c>
      <c r="D23" s="13">
        <f>IF(C23&gt;=Inputs!$C$12*Inputs!$C$5,Inputs!$C$6,Inputs!$C$6*C23/Inputs!$C$5)</f>
        <v>1000</v>
      </c>
      <c r="E23" s="13">
        <f>IF(C23&gt;=Inputs!$C$11*Inputs!$C$5,Inputs!$C$13*Inputs!$C$6,0)</f>
        <v>80</v>
      </c>
      <c r="F23" s="13">
        <f t="shared" si="0"/>
        <v>1080</v>
      </c>
    </row>
    <row r="24" spans="2:6" x14ac:dyDescent="0.45">
      <c r="B24" s="11">
        <v>1.25</v>
      </c>
      <c r="C24" s="12">
        <f>B24*Inputs!$C$5</f>
        <v>250</v>
      </c>
      <c r="D24" s="13">
        <f>IF(C24&gt;=Inputs!$C$12*Inputs!$C$5,Inputs!$C$6,Inputs!$C$6*C24/Inputs!$C$5)</f>
        <v>1000</v>
      </c>
      <c r="E24" s="13">
        <f>IF(C24&gt;=Inputs!$C$11*Inputs!$C$5,Inputs!$C$13*Inputs!$C$6,0)</f>
        <v>80</v>
      </c>
      <c r="F24" s="13">
        <f t="shared" si="0"/>
        <v>1080</v>
      </c>
    </row>
    <row r="25" spans="2:6" x14ac:dyDescent="0.45">
      <c r="B25" s="11">
        <v>1.3</v>
      </c>
      <c r="C25" s="12">
        <f>B25*Inputs!$C$5</f>
        <v>260</v>
      </c>
      <c r="D25" s="13">
        <f>IF(C25&gt;=Inputs!$C$12*Inputs!$C$5,Inputs!$C$6,Inputs!$C$6*C25/Inputs!$C$5)</f>
        <v>1000</v>
      </c>
      <c r="E25" s="13">
        <f>IF(C25&gt;=Inputs!$C$11*Inputs!$C$5,Inputs!$C$13*Inputs!$C$6,0)</f>
        <v>80</v>
      </c>
      <c r="F25" s="13">
        <f t="shared" si="0"/>
        <v>1080</v>
      </c>
    </row>
    <row r="26" spans="2:6" x14ac:dyDescent="0.45">
      <c r="B26" s="11">
        <v>1.35</v>
      </c>
      <c r="C26" s="12">
        <f>B26*Inputs!$C$5</f>
        <v>270</v>
      </c>
      <c r="D26" s="13">
        <f>IF(C26&gt;=Inputs!$C$12*Inputs!$C$5,Inputs!$C$6,Inputs!$C$6*C26/Inputs!$C$5)</f>
        <v>1000</v>
      </c>
      <c r="E26" s="13">
        <f>IF(C26&gt;=Inputs!$C$11*Inputs!$C$5,Inputs!$C$13*Inputs!$C$6,0)</f>
        <v>80</v>
      </c>
      <c r="F26" s="13">
        <f t="shared" si="0"/>
        <v>1080</v>
      </c>
    </row>
    <row r="27" spans="2:6" x14ac:dyDescent="0.45">
      <c r="B27" s="11">
        <v>1.4</v>
      </c>
      <c r="C27" s="12">
        <f>B27*Inputs!$C$5</f>
        <v>280</v>
      </c>
      <c r="D27" s="13">
        <f>IF(C27&gt;=Inputs!$C$12*Inputs!$C$5,Inputs!$C$6,Inputs!$C$6*C27/Inputs!$C$5)</f>
        <v>1000</v>
      </c>
      <c r="E27" s="13">
        <f>IF(C27&gt;=Inputs!$C$11*Inputs!$C$5,Inputs!$C$13*Inputs!$C$6,0)</f>
        <v>80</v>
      </c>
      <c r="F27" s="13">
        <f t="shared" si="0"/>
        <v>1080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euil3"/>
  <dimension ref="B2:F18"/>
  <sheetViews>
    <sheetView showGridLines="0" tabSelected="1" zoomScaleNormal="100" workbookViewId="0">
      <selection activeCell="F12" sqref="F12"/>
    </sheetView>
  </sheetViews>
  <sheetFormatPr baseColWidth="10" defaultColWidth="8.6640625" defaultRowHeight="14.25" x14ac:dyDescent="0.45"/>
  <cols>
    <col min="1" max="1" width="3" customWidth="1"/>
    <col min="2" max="2" width="46" customWidth="1"/>
    <col min="3" max="3" width="16" customWidth="1"/>
  </cols>
  <sheetData>
    <row r="2" spans="2:6" ht="17.649999999999999" x14ac:dyDescent="0.5">
      <c r="B2" s="21" t="s">
        <v>23</v>
      </c>
      <c r="C2" s="21"/>
      <c r="D2" s="21"/>
    </row>
    <row r="4" spans="2:6" ht="30" customHeight="1" x14ac:dyDescent="0.45">
      <c r="B4" s="22" t="s">
        <v>24</v>
      </c>
      <c r="C4" s="22"/>
      <c r="D4" s="22"/>
      <c r="E4" s="22"/>
      <c r="F4" s="22"/>
    </row>
    <row r="6" spans="2:6" x14ac:dyDescent="0.45">
      <c r="B6" s="1" t="s">
        <v>25</v>
      </c>
      <c r="C6" s="1" t="s">
        <v>2</v>
      </c>
    </row>
    <row r="7" spans="2:6" x14ac:dyDescent="0.45">
      <c r="B7" s="14" t="s">
        <v>26</v>
      </c>
      <c r="C7" s="15">
        <v>972.77511946462562</v>
      </c>
    </row>
    <row r="8" spans="2:6" x14ac:dyDescent="0.45">
      <c r="B8" s="14" t="s">
        <v>27</v>
      </c>
      <c r="C8" s="16">
        <v>0.97277511946462558</v>
      </c>
    </row>
    <row r="9" spans="2:6" x14ac:dyDescent="0.45">
      <c r="B9" s="14" t="s">
        <v>28</v>
      </c>
      <c r="C9" s="17">
        <v>1.0800289688932467</v>
      </c>
    </row>
    <row r="10" spans="2:6" x14ac:dyDescent="0.45">
      <c r="B10" s="14" t="s">
        <v>29</v>
      </c>
      <c r="C10" s="18">
        <v>2.9975000000000001</v>
      </c>
    </row>
    <row r="11" spans="2:6" x14ac:dyDescent="0.45">
      <c r="B11" s="14" t="s">
        <v>30</v>
      </c>
      <c r="C11" s="19">
        <v>0.59299999999999997</v>
      </c>
    </row>
    <row r="12" spans="2:6" x14ac:dyDescent="0.45">
      <c r="B12" s="14" t="s">
        <v>31</v>
      </c>
      <c r="C12" s="19">
        <v>0.17100000000000001</v>
      </c>
    </row>
    <row r="13" spans="2:6" x14ac:dyDescent="0.45">
      <c r="B13" s="14" t="s">
        <v>32</v>
      </c>
      <c r="C13" s="17">
        <v>1.93</v>
      </c>
    </row>
    <row r="15" spans="2:6" x14ac:dyDescent="0.45">
      <c r="B15" s="7" t="s">
        <v>33</v>
      </c>
    </row>
    <row r="16" spans="2:6" x14ac:dyDescent="0.45">
      <c r="B16" s="2" t="s">
        <v>34</v>
      </c>
      <c r="C16" s="20">
        <v>0.47399999999999998</v>
      </c>
    </row>
    <row r="17" spans="2:3" x14ac:dyDescent="0.45">
      <c r="B17" s="2" t="s">
        <v>35</v>
      </c>
      <c r="C17" s="20">
        <v>0.11899999999999999</v>
      </c>
    </row>
    <row r="18" spans="2:3" x14ac:dyDescent="0.45">
      <c r="B18" s="2" t="s">
        <v>36</v>
      </c>
      <c r="C18" s="20">
        <v>0.40699999999999997</v>
      </c>
    </row>
  </sheetData>
  <mergeCells count="2">
    <mergeCell ref="B2:D2"/>
    <mergeCell ref="B4:F4"/>
  </mergeCells>
  <pageMargins left="0.75" right="0.75" top="1" bottom="1" header="0.511811023622047" footer="0.511811023622047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Button 1">
              <controlPr defaultSize="0" print="0" autoFill="0" autoPict="0" macro="[0]!RunPricing">
                <anchor moveWithCells="1" sizeWithCells="1">
                  <from>
                    <xdr:col>4</xdr:col>
                    <xdr:colOff>523875</xdr:colOff>
                    <xdr:row>5</xdr:row>
                    <xdr:rowOff>4763</xdr:rowOff>
                  </from>
                  <to>
                    <xdr:col>7</xdr:col>
                    <xdr:colOff>176213</xdr:colOff>
                    <xdr:row>8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Inputs</vt:lpstr>
      <vt:lpstr>Payoff Diagram</vt:lpstr>
      <vt:lpstr>Pricing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AURELIEN RASQUIN</cp:lastModifiedBy>
  <cp:revision>1</cp:revision>
  <cp:lastPrinted>2026-10-04T14:31:26Z</cp:lastPrinted>
  <dcterms:created xsi:type="dcterms:W3CDTF">2026-08-04T08:47:25Z</dcterms:created>
  <dcterms:modified xsi:type="dcterms:W3CDTF">2026-10-04T14:59:18Z</dcterms:modified>
  <dc:language>en-US</dc:language>
</cp:coreProperties>
</file>